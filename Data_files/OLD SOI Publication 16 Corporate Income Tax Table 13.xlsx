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weisbac\Dropbox\Corporate Cash Flow Tax\"/>
    </mc:Choice>
  </mc:AlternateContent>
  <xr:revisionPtr revIDLastSave="0" documentId="8_{F5AB85FF-1ED9-446C-9314-C38AB7931FC9}" xr6:coauthVersionLast="47" xr6:coauthVersionMax="47" xr10:uidLastSave="{00000000-0000-0000-0000-000000000000}"/>
  <bookViews>
    <workbookView xWindow="38280" yWindow="-120" windowWidth="38640" windowHeight="21840" xr2:uid="{00000000-000D-0000-FFFF-FFFF00000000}"/>
  </bookViews>
  <sheets>
    <sheet name="Table 13" sheetId="1" r:id="rId1"/>
  </sheets>
  <calcPr calcId="191029" iterate="1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6" i="1" l="1"/>
  <c r="T66" i="1"/>
  <c r="S66" i="1"/>
  <c r="R66" i="1"/>
  <c r="Q66" i="1"/>
  <c r="P66" i="1"/>
  <c r="O66" i="1"/>
  <c r="N66" i="1"/>
  <c r="M66" i="1"/>
  <c r="U63" i="1"/>
  <c r="T63" i="1"/>
  <c r="S63" i="1"/>
  <c r="R63" i="1"/>
  <c r="Q63" i="1"/>
  <c r="P63" i="1"/>
  <c r="O63" i="1"/>
  <c r="N63" i="1"/>
  <c r="M63" i="1"/>
  <c r="U62" i="1"/>
  <c r="U64" i="1" s="1"/>
  <c r="U73" i="1" s="1"/>
  <c r="T62" i="1"/>
  <c r="T64" i="1" s="1"/>
  <c r="T73" i="1" s="1"/>
  <c r="S62" i="1"/>
  <c r="S64" i="1" s="1"/>
  <c r="S73" i="1" s="1"/>
  <c r="R62" i="1"/>
  <c r="R64" i="1" s="1"/>
  <c r="R73" i="1" s="1"/>
  <c r="Q62" i="1"/>
  <c r="Q64" i="1" s="1"/>
  <c r="Q73" i="1" s="1"/>
  <c r="P62" i="1"/>
  <c r="P64" i="1" s="1"/>
  <c r="P73" i="1" s="1"/>
  <c r="O62" i="1"/>
  <c r="O64" i="1" s="1"/>
  <c r="O73" i="1" s="1"/>
  <c r="N62" i="1"/>
  <c r="N64" i="1" s="1"/>
  <c r="N73" i="1" s="1"/>
  <c r="M62" i="1"/>
  <c r="M64" i="1" s="1"/>
  <c r="M73" i="1" s="1"/>
  <c r="D63" i="1"/>
  <c r="D62" i="1"/>
  <c r="D73" i="1"/>
  <c r="D66" i="1"/>
  <c r="D64" i="1"/>
  <c r="C66" i="1"/>
  <c r="C64" i="1"/>
  <c r="C63" i="1"/>
  <c r="C62" i="1"/>
  <c r="L66" i="1"/>
  <c r="K66" i="1"/>
  <c r="J66" i="1"/>
  <c r="I66" i="1"/>
  <c r="H66" i="1"/>
  <c r="G66" i="1"/>
  <c r="F66" i="1"/>
  <c r="E66" i="1"/>
  <c r="J64" i="1"/>
  <c r="J73" i="1" s="1"/>
  <c r="L63" i="1"/>
  <c r="K63" i="1"/>
  <c r="J63" i="1"/>
  <c r="I63" i="1"/>
  <c r="I64" i="1" s="1"/>
  <c r="I73" i="1" s="1"/>
  <c r="H63" i="1"/>
  <c r="G63" i="1"/>
  <c r="G64" i="1" s="1"/>
  <c r="G73" i="1" s="1"/>
  <c r="F63" i="1"/>
  <c r="E63" i="1"/>
  <c r="L62" i="1"/>
  <c r="L64" i="1" s="1"/>
  <c r="L73" i="1" s="1"/>
  <c r="K62" i="1"/>
  <c r="K64" i="1" s="1"/>
  <c r="K73" i="1" s="1"/>
  <c r="J62" i="1"/>
  <c r="I62" i="1"/>
  <c r="H62" i="1"/>
  <c r="G62" i="1"/>
  <c r="F62" i="1"/>
  <c r="F64" i="1" s="1"/>
  <c r="F73" i="1" s="1"/>
  <c r="E62" i="1"/>
  <c r="E64" i="1" s="1"/>
  <c r="E73" i="1" s="1"/>
  <c r="B66" i="1"/>
  <c r="B64" i="1"/>
  <c r="B63" i="1"/>
  <c r="B62" i="1"/>
  <c r="B73" i="1"/>
  <c r="C73" i="1" l="1"/>
  <c r="H64" i="1"/>
  <c r="H73" i="1" s="1"/>
</calcChain>
</file>

<file path=xl/sharedStrings.xml><?xml version="1.0" encoding="utf-8"?>
<sst xmlns="http://schemas.openxmlformats.org/spreadsheetml/2006/main" count="110" uniqueCount="102">
  <si>
    <t>Sectors</t>
  </si>
  <si>
    <t>Mining</t>
  </si>
  <si>
    <t>Utilities</t>
  </si>
  <si>
    <t>Construction</t>
  </si>
  <si>
    <t>Manufacturing</t>
  </si>
  <si>
    <t>Information</t>
  </si>
  <si>
    <t>Part IV: Summary</t>
  </si>
  <si>
    <t>(1)</t>
  </si>
  <si>
    <t>(2)</t>
  </si>
  <si>
    <t>(3)</t>
  </si>
  <si>
    <t>(4)</t>
  </si>
  <si>
    <t>(5)</t>
  </si>
  <si>
    <t>(6)</t>
  </si>
  <si>
    <t>(7)</t>
  </si>
  <si>
    <t>(8)</t>
  </si>
  <si>
    <t>Finance and insurance</t>
  </si>
  <si>
    <t>Real estate and rental and leasing</t>
  </si>
  <si>
    <t>Professional, scientific, and technical services</t>
  </si>
  <si>
    <t>Management of companies (holding companies)</t>
  </si>
  <si>
    <t>Administrative and support and waste management and remediation services</t>
  </si>
  <si>
    <t>Educational services</t>
  </si>
  <si>
    <t>Health care and social assistance</t>
  </si>
  <si>
    <t>Arts, entertainment, and recreation</t>
  </si>
  <si>
    <t>Accommodation and food services</t>
  </si>
  <si>
    <t>Other services</t>
  </si>
  <si>
    <t>Agriculture, forestry, fishing and hunting</t>
  </si>
  <si>
    <t>All sectors</t>
  </si>
  <si>
    <t>Transportation and warehousing</t>
  </si>
  <si>
    <t>Wholesale trade</t>
  </si>
  <si>
    <t>Retail trade</t>
  </si>
  <si>
    <t>Section A</t>
  </si>
  <si>
    <t>Property subject to section 168(f)(1) election</t>
  </si>
  <si>
    <t>RETURNS OF ACTIVE CORPORATIONS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</si>
  <si>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</si>
  <si>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</si>
  <si>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</si>
  <si>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</si>
  <si>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</si>
  <si>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</si>
  <si>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</si>
  <si>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</si>
  <si>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</si>
  <si>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</si>
  <si>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</si>
  <si>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</si>
  <si>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Table 13.  Form 4562, Selecte0 0epreciation Items, by Sector, Tax Year 2022</t>
  </si>
  <si>
    <t>[All figures are estimates base0 on samples--money amounts are in thousan0s of 0ollars]</t>
  </si>
  <si>
    <t>Item an0 form reference</t>
  </si>
  <si>
    <t>Agriculture, forestry, fishing an0 hunting</t>
  </si>
  <si>
    <t>Wholesale tra0e</t>
  </si>
  <si>
    <t>Retail tra0e</t>
  </si>
  <si>
    <t>Transportation an0 warehousing</t>
  </si>
  <si>
    <t>Finance an0 insurance</t>
  </si>
  <si>
    <t>Real estate an0 rental an0 leasing</t>
  </si>
  <si>
    <t>Professional, scientific, an0 technical services</t>
  </si>
  <si>
    <t>Management of companies (hol0ing companies)</t>
  </si>
  <si>
    <t>A0ministrative an0 support an0 waste management an0 reme0iation services</t>
  </si>
  <si>
    <t>E0ucational services</t>
  </si>
  <si>
    <t>Health care an0 social assistance</t>
  </si>
  <si>
    <t>Arts, entertainment, an0 recreation</t>
  </si>
  <si>
    <t>Accommo0ation an0 foo0 services</t>
  </si>
  <si>
    <t>Number of returns claiming 0epreciation on Form 4562 [1]</t>
  </si>
  <si>
    <t>Part I: Election To Expense Certain Property Un0er Section 179:</t>
  </si>
  <si>
    <t>Section 179 expense 0e0uction [2]</t>
  </si>
  <si>
    <t>Part II: Special 0epreciation Allowance an0 Other 0epreciation:</t>
  </si>
  <si>
    <t>Special 0epreciation allowance for qualifie0 property</t>
  </si>
  <si>
    <t>Other 0epreciation (inclu0ing ACRS)</t>
  </si>
  <si>
    <t>Part III: MACRS 0epreciation</t>
  </si>
  <si>
    <t>MACRS 0e0uction for assets place0 in service in prior tax years</t>
  </si>
  <si>
    <t>Section B - Assets place0 in service 0uring tax year - General 0epreciation System</t>
  </si>
  <si>
    <t>3-year property basis for 0epreciation</t>
  </si>
  <si>
    <t>3-year property 0epreciation 0e0uction</t>
  </si>
  <si>
    <t>5-year property basis for 0epreciation</t>
  </si>
  <si>
    <t>5-year property 0epreciation 0e0uction</t>
  </si>
  <si>
    <t>7-year property basis for 0epreciation</t>
  </si>
  <si>
    <t>7-year property 0epreciation 0e0uction</t>
  </si>
  <si>
    <t>10-year property basis for 0epreciation</t>
  </si>
  <si>
    <t>10-year property 0epreciation 0e0uction</t>
  </si>
  <si>
    <t>15-year property basis for 0epreciation</t>
  </si>
  <si>
    <t>15-year property 0epreciation 0e0uction</t>
  </si>
  <si>
    <t>20-year property basis for 0epreciation</t>
  </si>
  <si>
    <t>20-year property 0epreciation 0e0uction</t>
  </si>
  <si>
    <t>25-year property basis for 0epreciation</t>
  </si>
  <si>
    <t>25-year property 0epreciation 0e0uction</t>
  </si>
  <si>
    <t>Resi0ential rental property basis for 0epreciation</t>
  </si>
  <si>
    <t>Resi0ential rental property 0epreciation 0e0uction</t>
  </si>
  <si>
    <t>Nonresi0ential real property basis for 0epreciation</t>
  </si>
  <si>
    <t>Nonresi0ential real property 0epreciation 0e0uction</t>
  </si>
  <si>
    <t>50-year property basis for 0epreciation [3]</t>
  </si>
  <si>
    <t>50-year property 0epreciation 0e0uction [3]</t>
  </si>
  <si>
    <t>Section C - Assets place0 in service 0uring tax year - Alternative 0epreciation System</t>
  </si>
  <si>
    <t>Class life property basis for 0epreciation</t>
  </si>
  <si>
    <t>Class life property 0epreciation 0e0uction</t>
  </si>
  <si>
    <t>12-year property basis for 0epreciation</t>
  </si>
  <si>
    <t>12-year property 0epreciation 0e0uction</t>
  </si>
  <si>
    <t>30-year property basis for 0epreciation</t>
  </si>
  <si>
    <t>30-year property 0epreciation 0e0uction</t>
  </si>
  <si>
    <t>40-year property basis for 0epreciation</t>
  </si>
  <si>
    <t>40-year property 0epreciation 0e0uction</t>
  </si>
  <si>
    <t>Liste0 property [4]</t>
  </si>
  <si>
    <t>Total (0epreciation) claime0 on Form 4562</t>
  </si>
  <si>
    <t>Notes:  
Form 4562 is title0 "0epreciation an0 Amortization".  ACRS is abbreviation  for Accelerate0 Cost Recovery System .  MACRS is abbreviation for Mo0ifie0 Accelerate0 Cost Recovery System .
0etail may not a00 to total 0ue to incomplete taxpayer reporting on Form 4562 an0 roun0ing.
See "Explanation of Terms" an0 "0escription of the Sample an0 Limitations of the 0ata."
* Estimate shoul0 be use0 with caution because of the small number of returns on which it was base0.
0 - To avoi0 0isclosure of information for specific corporations, these 0ata have been 0elete0.  0ata are inclu0e0 in appropriate totals.
[1] Inclu0es returns reporting 0epreciation amounts an0 no 0epreciation 0e0uction claime0.
[2] This amount is the sum of Part I of the Form 4562.  It also inclu0es amounts from Line 29 from Part V: Liste0 Property, which is the sum of items reporte0 in Line 26, column (i) "Electe0 section 179 costs".
[3] This amount is not liste0 specifically in Part III of the Form 4562.  Instea0 the taxpayer is instructe0 to provi0e a statement with a break0own of the property(ies).
[4] This amount is from Part V, Line 28, which is the sum of Lines 25 thru 27, column (h).
Source: IRS, Statistics of Income 0ivision: 2022 Publication 16, September 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</si>
</sst>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&quot;* &quot;#,##0;&quot;* &quot;\-#,##0;&quot;* &quot;0;@"/>
  </numFmts>
  <fonts count="12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6"/>
      <color indexed="8"/>
      <name val="Arial"/>
      <family val="2"/>
    </font>
    <font>
      <b/>
      <sz val="8"/>
      <color indexed="8"/>
      <name val="Arial"/>
      <family val="2"/>
    </font>
    <font>
      <sz val="8"/>
      <name val="Arial"/>
      <family val="2"/>
    </font>
    <font>
      <b/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b/>
      <sz val="8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0"/>
    <xf numFmtId="9" fontId="11" fillId="0" borderId="0" applyFont="0" applyFill="0" applyBorder="0" applyAlignment="0" applyProtection="0"/>
  </cellStyleXfs>
  <cellXfs count="43">
    <xf numFmtId="0" fontId="0" fillId="0" borderId="0" xfId="0"/>
    <xf numFmtId="0" fontId="3" fillId="0" borderId="1" xfId="2" applyFont="1" applyBorder="1" applyAlignment="1">
      <alignment horizontal="center" vertical="center" wrapText="1"/>
    </xf>
    <xf numFmtId="0" fontId="3" fillId="0" borderId="2" xfId="2" applyFont="1" applyBorder="1" applyAlignment="1">
      <alignment horizontal="center" vertical="center" wrapText="1"/>
    </xf>
    <xf numFmtId="49" fontId="8" fillId="0" borderId="2" xfId="2" applyNumberFormat="1" applyFont="1" applyBorder="1" applyAlignment="1">
      <alignment horizontal="center" vertical="center"/>
    </xf>
    <xf numFmtId="49" fontId="8" fillId="0" borderId="3" xfId="2" applyNumberFormat="1" applyFont="1" applyBorder="1" applyAlignment="1">
      <alignment horizontal="center" vertical="center"/>
    </xf>
    <xf numFmtId="49" fontId="8" fillId="0" borderId="4" xfId="2" applyNumberFormat="1" applyFont="1" applyBorder="1" applyAlignment="1">
      <alignment horizontal="center" vertical="center"/>
    </xf>
    <xf numFmtId="0" fontId="7" fillId="0" borderId="0" xfId="0" applyFont="1"/>
    <xf numFmtId="0" fontId="9" fillId="0" borderId="0" xfId="0" applyFont="1"/>
    <xf numFmtId="0" fontId="3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left" vertical="center"/>
    </xf>
    <xf numFmtId="0" fontId="5" fillId="0" borderId="12" xfId="2" applyFont="1" applyBorder="1" applyAlignment="1">
      <alignment horizontal="left" vertical="center"/>
    </xf>
    <xf numFmtId="0" fontId="10" fillId="0" borderId="12" xfId="2" applyFont="1" applyBorder="1" applyAlignment="1">
      <alignment horizontal="left" vertical="center"/>
    </xf>
    <xf numFmtId="0" fontId="5" fillId="0" borderId="12" xfId="2" applyFont="1" applyBorder="1" applyAlignment="1">
      <alignment horizontal="center" vertical="center"/>
    </xf>
    <xf numFmtId="0" fontId="5" fillId="0" borderId="15" xfId="2" applyFont="1" applyBorder="1" applyAlignment="1">
      <alignment horizontal="left" vertical="center"/>
    </xf>
    <xf numFmtId="0" fontId="3" fillId="0" borderId="12" xfId="2" applyFont="1" applyBorder="1" applyAlignment="1">
      <alignment horizontal="left" vertical="center" indent="1"/>
    </xf>
    <xf numFmtId="0" fontId="8" fillId="0" borderId="12" xfId="2" applyFont="1" applyBorder="1" applyAlignment="1">
      <alignment horizontal="left" vertical="center" indent="1"/>
    </xf>
    <xf numFmtId="3" fontId="8" fillId="0" borderId="13" xfId="0" applyNumberFormat="1" applyFont="1" applyBorder="1"/>
    <xf numFmtId="3" fontId="8" fillId="0" borderId="14" xfId="0" applyNumberFormat="1" applyFont="1" applyBorder="1"/>
    <xf numFmtId="49" fontId="8" fillId="0" borderId="13" xfId="0" applyNumberFormat="1" applyFont="1" applyBorder="1" applyAlignment="1">
      <alignment horizontal="right"/>
    </xf>
    <xf numFmtId="164" fontId="8" fillId="0" borderId="13" xfId="0" applyNumberFormat="1" applyFont="1" applyBorder="1"/>
    <xf numFmtId="164" fontId="8" fillId="0" borderId="14" xfId="0" applyNumberFormat="1" applyFont="1" applyBorder="1"/>
    <xf numFmtId="49" fontId="8" fillId="0" borderId="14" xfId="0" applyNumberFormat="1" applyFont="1" applyBorder="1" applyAlignment="1">
      <alignment horizontal="right"/>
    </xf>
    <xf numFmtId="3" fontId="10" fillId="0" borderId="18" xfId="0" applyNumberFormat="1" applyFont="1" applyBorder="1"/>
    <xf numFmtId="3" fontId="10" fillId="0" borderId="19" xfId="0" applyNumberFormat="1" applyFont="1" applyBorder="1"/>
    <xf numFmtId="3" fontId="10" fillId="0" borderId="16" xfId="0" applyNumberFormat="1" applyFont="1" applyBorder="1"/>
    <xf numFmtId="3" fontId="10" fillId="0" borderId="17" xfId="0" applyNumberFormat="1" applyFont="1" applyBorder="1"/>
    <xf numFmtId="3" fontId="8" fillId="3" borderId="13" xfId="0" applyNumberFormat="1" applyFont="1" applyFill="1" applyBorder="1"/>
    <xf numFmtId="3" fontId="0" fillId="0" borderId="0" xfId="0" applyNumberFormat="1"/>
    <xf numFmtId="3" fontId="8" fillId="4" borderId="13" xfId="0" applyNumberFormat="1" applyFont="1" applyFill="1" applyBorder="1"/>
    <xf numFmtId="10" fontId="0" fillId="0" borderId="0" xfId="3" applyNumberFormat="1" applyFont="1"/>
    <xf numFmtId="0" fontId="6" fillId="0" borderId="9" xfId="2" applyFont="1" applyBorder="1" applyAlignment="1">
      <alignment horizontal="left" vertical="center" wrapText="1"/>
    </xf>
    <xf numFmtId="0" fontId="0" fillId="0" borderId="9" xfId="0" applyBorder="1"/>
    <xf numFmtId="0" fontId="0" fillId="0" borderId="0" xfId="0"/>
    <xf numFmtId="0" fontId="5" fillId="2" borderId="0" xfId="2" applyFont="1" applyFill="1" applyAlignment="1">
      <alignment horizontal="center" vertical="center" wrapText="1"/>
    </xf>
    <xf numFmtId="0" fontId="2" fillId="0" borderId="0" xfId="2" applyFont="1" applyAlignment="1">
      <alignment horizontal="left" vertical="center" wrapText="1"/>
    </xf>
    <xf numFmtId="0" fontId="4" fillId="0" borderId="5" xfId="2" applyFont="1" applyBorder="1" applyAlignment="1">
      <alignment horizontal="left" vertical="center"/>
    </xf>
    <xf numFmtId="0" fontId="3" fillId="0" borderId="0" xfId="2" applyFont="1" applyAlignment="1">
      <alignment horizontal="center" vertical="center" wrapText="1"/>
    </xf>
    <xf numFmtId="0" fontId="3" fillId="0" borderId="6" xfId="2" applyFont="1" applyBorder="1" applyAlignment="1">
      <alignment horizontal="center" vertical="center" wrapText="1"/>
    </xf>
    <xf numFmtId="0" fontId="3" fillId="0" borderId="7" xfId="2" applyFont="1" applyBorder="1" applyAlignment="1">
      <alignment horizontal="center" vertical="center" wrapText="1"/>
    </xf>
    <xf numFmtId="0" fontId="3" fillId="0" borderId="8" xfId="2" applyFont="1" applyBorder="1" applyAlignment="1">
      <alignment horizontal="center" vertical="center"/>
    </xf>
    <xf numFmtId="0" fontId="3" fillId="0" borderId="6" xfId="2" applyFont="1" applyBorder="1" applyAlignment="1">
      <alignment horizontal="center" vertical="center"/>
    </xf>
    <xf numFmtId="0" fontId="0" fillId="0" borderId="0" xfId="0" applyNumberFormat="1"/>
    <xf numFmtId="0" fontId="3" fillId="0" borderId="0" xfId="2" applyFont="1" applyBorder="1" applyAlignment="1">
      <alignment horizontal="center" vertical="center" wrapText="1"/>
    </xf>
  </cellXfs>
  <cellStyles count="4">
    <cellStyle name="Comma 2" xfId="1" xr:uid="{00000000-0005-0000-0000-000000000000}"/>
    <cellStyle name="Normal" xfId="0" builtinId="0"/>
    <cellStyle name="Normal 2" xfId="2" xr:uid="{00000000-0005-0000-0000-000002000000}"/>
    <cellStyle name="Percent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3"/>
  <sheetViews>
    <sheetView showGridLines="0" tabSelected="1" zoomScale="120" zoomScaleNormal="120" workbookViewId="0">
      <selection activeCell="B71" sqref="B71:U73"/>
    </sheetView>
  </sheetViews>
  <sheetFormatPr defaultRowHeight="15" x14ac:dyDescent="0.25"/>
  <cols>
    <col min="1" max="1" width="74.28515625" customWidth="1"/>
    <col min="2" max="21" width="13" customWidth="1"/>
  </cols>
  <sheetData>
    <row r="1" spans="1:21" s="7" customFormat="1" ht="11.25" customHeight="1" x14ac:dyDescent="0.2">
      <c r="A1" s="33" t="s">
        <v>32</v>
      </c>
      <c r="B1" s="33"/>
      <c r="C1" s="33"/>
      <c r="D1" s="33"/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</row>
    <row r="2" spans="1:21" x14ac:dyDescent="0.25">
      <c r="A2" s="34" t="s">
        <v>45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</row>
    <row r="3" spans="1:21" ht="15.75" thickBot="1" x14ac:dyDescent="0.3">
      <c r="A3" s="35" t="s">
        <v>46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15.75" thickTop="1" x14ac:dyDescent="0.25">
      <c r="A4" s="36" t="s">
        <v>47</v>
      </c>
      <c r="B4" s="38" t="s">
        <v>26</v>
      </c>
      <c r="C4" s="39" t="s">
        <v>0</v>
      </c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</row>
    <row r="5" spans="1:21" ht="67.5" x14ac:dyDescent="0.25">
      <c r="A5" s="37"/>
      <c r="B5" s="38"/>
      <c r="C5" s="1" t="s">
        <v>48</v>
      </c>
      <c r="D5" s="1" t="s">
        <v>1</v>
      </c>
      <c r="E5" s="1" t="s">
        <v>2</v>
      </c>
      <c r="F5" s="1" t="s">
        <v>3</v>
      </c>
      <c r="G5" s="1" t="s">
        <v>4</v>
      </c>
      <c r="H5" s="1" t="s">
        <v>49</v>
      </c>
      <c r="I5" s="1" t="s">
        <v>50</v>
      </c>
      <c r="J5" s="1" t="s">
        <v>51</v>
      </c>
      <c r="K5" s="1" t="s">
        <v>5</v>
      </c>
      <c r="L5" s="1" t="s">
        <v>52</v>
      </c>
      <c r="M5" s="1" t="s">
        <v>53</v>
      </c>
      <c r="N5" s="1" t="s">
        <v>54</v>
      </c>
      <c r="O5" s="1" t="s">
        <v>55</v>
      </c>
      <c r="P5" s="1" t="s">
        <v>56</v>
      </c>
      <c r="Q5" s="1" t="s">
        <v>57</v>
      </c>
      <c r="R5" s="1" t="s">
        <v>58</v>
      </c>
      <c r="S5" s="1" t="s">
        <v>59</v>
      </c>
      <c r="T5" s="1" t="s">
        <v>60</v>
      </c>
      <c r="U5" s="2" t="s">
        <v>24</v>
      </c>
    </row>
    <row r="6" spans="1:21" ht="11.25" customHeight="1" x14ac:dyDescent="0.25">
      <c r="A6" s="8"/>
      <c r="B6" s="5" t="s">
        <v>7</v>
      </c>
      <c r="C6" s="4" t="s">
        <v>8</v>
      </c>
      <c r="D6" s="3" t="s">
        <v>9</v>
      </c>
      <c r="E6" s="3" t="s">
        <v>10</v>
      </c>
      <c r="F6" s="3" t="s">
        <v>11</v>
      </c>
      <c r="G6" s="3" t="s">
        <v>12</v>
      </c>
      <c r="H6" s="3" t="s">
        <v>13</v>
      </c>
      <c r="I6" s="3" t="s">
        <v>14</v>
      </c>
      <c r="J6" s="3" t="s">
        <v>33</v>
      </c>
      <c r="K6" s="3" t="s">
        <v>34</v>
      </c>
      <c r="L6" s="3" t="s">
        <v>35</v>
      </c>
      <c r="M6" s="3" t="s">
        <v>36</v>
      </c>
      <c r="N6" s="3" t="s">
        <v>37</v>
      </c>
      <c r="O6" s="3" t="s">
        <v>38</v>
      </c>
      <c r="P6" s="3" t="s">
        <v>39</v>
      </c>
      <c r="Q6" s="3" t="s">
        <v>40</v>
      </c>
      <c r="R6" s="3" t="s">
        <v>41</v>
      </c>
      <c r="S6" s="3" t="s">
        <v>42</v>
      </c>
      <c r="T6" s="3" t="s">
        <v>43</v>
      </c>
      <c r="U6" s="3" t="s">
        <v>44</v>
      </c>
    </row>
    <row r="7" spans="1:21" s="6" customFormat="1" ht="11.25" customHeight="1" x14ac:dyDescent="0.25">
      <c r="A7" s="9" t="s">
        <v>61</v>
      </c>
      <c r="B7" s="22">
        <v>3239869</v>
      </c>
      <c r="C7" s="22">
        <v>99869</v>
      </c>
      <c r="D7" s="22">
        <v>17726</v>
      </c>
      <c r="E7" s="22">
        <v>4213</v>
      </c>
      <c r="F7" s="22">
        <v>478910</v>
      </c>
      <c r="G7" s="22">
        <v>155648</v>
      </c>
      <c r="H7" s="22">
        <v>177325</v>
      </c>
      <c r="I7" s="22">
        <v>276881</v>
      </c>
      <c r="J7" s="22">
        <v>193210</v>
      </c>
      <c r="K7" s="22">
        <v>55899</v>
      </c>
      <c r="L7" s="22">
        <v>93625</v>
      </c>
      <c r="M7" s="22">
        <v>323144</v>
      </c>
      <c r="N7" s="22">
        <v>400071</v>
      </c>
      <c r="O7" s="22">
        <v>11698</v>
      </c>
      <c r="P7" s="22">
        <v>154332</v>
      </c>
      <c r="Q7" s="22">
        <v>25836</v>
      </c>
      <c r="R7" s="22">
        <v>264343</v>
      </c>
      <c r="S7" s="22">
        <v>69422</v>
      </c>
      <c r="T7" s="22">
        <v>218064</v>
      </c>
      <c r="U7" s="23">
        <v>219655</v>
      </c>
    </row>
    <row r="8" spans="1:21" s="6" customFormat="1" ht="11.25" customHeight="1" x14ac:dyDescent="0.25">
      <c r="A8" s="10" t="s">
        <v>62</v>
      </c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7"/>
    </row>
    <row r="9" spans="1:21" ht="11.25" customHeight="1" x14ac:dyDescent="0.25">
      <c r="A9" s="14" t="s">
        <v>63</v>
      </c>
      <c r="B9" s="26">
        <v>35290181</v>
      </c>
      <c r="C9" s="16">
        <v>3587032</v>
      </c>
      <c r="D9" s="16">
        <v>324898</v>
      </c>
      <c r="E9" s="16">
        <v>147369</v>
      </c>
      <c r="F9" s="16">
        <v>8013917</v>
      </c>
      <c r="G9" s="16">
        <v>3860232</v>
      </c>
      <c r="H9" s="16">
        <v>3005817</v>
      </c>
      <c r="I9" s="16">
        <v>2516649</v>
      </c>
      <c r="J9" s="16">
        <v>2332734</v>
      </c>
      <c r="K9" s="16">
        <v>297384</v>
      </c>
      <c r="L9" s="16">
        <v>376712</v>
      </c>
      <c r="M9" s="16">
        <v>1262300</v>
      </c>
      <c r="N9" s="16">
        <v>2288669</v>
      </c>
      <c r="O9" s="16">
        <v>271198</v>
      </c>
      <c r="P9" s="16">
        <v>2258420</v>
      </c>
      <c r="Q9" s="16">
        <v>70627</v>
      </c>
      <c r="R9" s="16">
        <v>1898953</v>
      </c>
      <c r="S9" s="16">
        <v>493789</v>
      </c>
      <c r="T9" s="16">
        <v>1031687</v>
      </c>
      <c r="U9" s="17">
        <v>1251793</v>
      </c>
    </row>
    <row r="10" spans="1:21" s="6" customFormat="1" ht="11.25" customHeight="1" x14ac:dyDescent="0.25">
      <c r="A10" s="11" t="s">
        <v>64</v>
      </c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7"/>
    </row>
    <row r="11" spans="1:21" ht="11.25" customHeight="1" x14ac:dyDescent="0.25">
      <c r="A11" s="15" t="s">
        <v>65</v>
      </c>
      <c r="B11" s="26">
        <v>760620247</v>
      </c>
      <c r="C11" s="16">
        <v>9860099</v>
      </c>
      <c r="D11" s="16">
        <v>22116128</v>
      </c>
      <c r="E11" s="16">
        <v>4881319</v>
      </c>
      <c r="F11" s="16">
        <v>31517791</v>
      </c>
      <c r="G11" s="16">
        <v>190831575</v>
      </c>
      <c r="H11" s="16">
        <v>55585702</v>
      </c>
      <c r="I11" s="16">
        <v>89777250</v>
      </c>
      <c r="J11" s="16">
        <v>58458156</v>
      </c>
      <c r="K11" s="16">
        <v>113237697</v>
      </c>
      <c r="L11" s="16">
        <v>28818897</v>
      </c>
      <c r="M11" s="16">
        <v>63244109</v>
      </c>
      <c r="N11" s="16">
        <v>17021148</v>
      </c>
      <c r="O11" s="16">
        <v>24827387</v>
      </c>
      <c r="P11" s="16">
        <v>9759542</v>
      </c>
      <c r="Q11" s="16">
        <v>851933</v>
      </c>
      <c r="R11" s="16">
        <v>13085237</v>
      </c>
      <c r="S11" s="16">
        <v>5600122</v>
      </c>
      <c r="T11" s="16">
        <v>16099055</v>
      </c>
      <c r="U11" s="17">
        <v>5047099</v>
      </c>
    </row>
    <row r="12" spans="1:21" ht="11.25" customHeight="1" x14ac:dyDescent="0.25">
      <c r="A12" s="15" t="s">
        <v>31</v>
      </c>
      <c r="B12" s="16">
        <v>1462787</v>
      </c>
      <c r="C12" s="18">
        <v>0</v>
      </c>
      <c r="D12" s="16">
        <v>230619</v>
      </c>
      <c r="E12" s="19">
        <v>162092</v>
      </c>
      <c r="F12" s="19">
        <v>674</v>
      </c>
      <c r="G12" s="16">
        <v>87594</v>
      </c>
      <c r="H12" s="16">
        <v>12680</v>
      </c>
      <c r="I12" s="19">
        <v>48025</v>
      </c>
      <c r="J12" s="18">
        <v>0</v>
      </c>
      <c r="K12" s="16">
        <v>336445</v>
      </c>
      <c r="L12" s="16">
        <v>12765</v>
      </c>
      <c r="M12" s="16">
        <v>29508</v>
      </c>
      <c r="N12" s="18">
        <v>0</v>
      </c>
      <c r="O12" s="18">
        <v>0</v>
      </c>
      <c r="P12" s="16">
        <v>528953</v>
      </c>
      <c r="Q12" s="16">
        <v>0</v>
      </c>
      <c r="R12" s="18">
        <v>0</v>
      </c>
      <c r="S12" s="18">
        <v>0</v>
      </c>
      <c r="T12" s="18">
        <v>0</v>
      </c>
      <c r="U12" s="17">
        <v>0</v>
      </c>
    </row>
    <row r="13" spans="1:21" ht="11.25" customHeight="1" x14ac:dyDescent="0.25">
      <c r="A13" s="15" t="s">
        <v>66</v>
      </c>
      <c r="B13" s="16">
        <v>51226507</v>
      </c>
      <c r="C13" s="16">
        <v>467730</v>
      </c>
      <c r="D13" s="16">
        <v>866343</v>
      </c>
      <c r="E13" s="16">
        <v>1748008</v>
      </c>
      <c r="F13" s="16">
        <v>902232</v>
      </c>
      <c r="G13" s="16">
        <v>15674611</v>
      </c>
      <c r="H13" s="16">
        <v>2077232</v>
      </c>
      <c r="I13" s="16">
        <v>2259889</v>
      </c>
      <c r="J13" s="16">
        <v>1711855</v>
      </c>
      <c r="K13" s="16">
        <v>8864704</v>
      </c>
      <c r="L13" s="16">
        <v>3837222</v>
      </c>
      <c r="M13" s="16">
        <v>3279740</v>
      </c>
      <c r="N13" s="16">
        <v>1178939</v>
      </c>
      <c r="O13" s="16">
        <v>5913412</v>
      </c>
      <c r="P13" s="16">
        <v>430411</v>
      </c>
      <c r="Q13" s="16">
        <v>72471</v>
      </c>
      <c r="R13" s="16">
        <v>554072</v>
      </c>
      <c r="S13" s="16">
        <v>222108</v>
      </c>
      <c r="T13" s="16">
        <v>815544</v>
      </c>
      <c r="U13" s="17">
        <v>349983</v>
      </c>
    </row>
    <row r="14" spans="1:21" s="6" customFormat="1" ht="11.25" customHeight="1" x14ac:dyDescent="0.25">
      <c r="A14" s="10" t="s">
        <v>67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7"/>
    </row>
    <row r="15" spans="1:21" ht="11.25" customHeight="1" x14ac:dyDescent="0.25">
      <c r="A15" s="12" t="s">
        <v>30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7"/>
    </row>
    <row r="16" spans="1:21" ht="11.25" customHeight="1" x14ac:dyDescent="0.25">
      <c r="A16" s="14" t="s">
        <v>68</v>
      </c>
      <c r="B16" s="16">
        <v>360343172</v>
      </c>
      <c r="C16" s="16">
        <v>5392029</v>
      </c>
      <c r="D16" s="16">
        <v>11085353</v>
      </c>
      <c r="E16" s="16">
        <v>55459643</v>
      </c>
      <c r="F16" s="16">
        <v>8413775</v>
      </c>
      <c r="G16" s="16">
        <v>82470246</v>
      </c>
      <c r="H16" s="16">
        <v>24466343</v>
      </c>
      <c r="I16" s="16">
        <v>29107725</v>
      </c>
      <c r="J16" s="16">
        <v>18403382</v>
      </c>
      <c r="K16" s="16">
        <v>29503726</v>
      </c>
      <c r="L16" s="16">
        <v>14212291</v>
      </c>
      <c r="M16" s="16">
        <v>45301753</v>
      </c>
      <c r="N16" s="16">
        <v>6381838</v>
      </c>
      <c r="O16" s="16">
        <v>9820047</v>
      </c>
      <c r="P16" s="16">
        <v>4891645</v>
      </c>
      <c r="Q16" s="16">
        <v>268789</v>
      </c>
      <c r="R16" s="16">
        <v>4376682</v>
      </c>
      <c r="S16" s="16">
        <v>2119755</v>
      </c>
      <c r="T16" s="16">
        <v>6747315</v>
      </c>
      <c r="U16" s="17">
        <v>1920834</v>
      </c>
    </row>
    <row r="17" spans="1:21" s="6" customFormat="1" ht="11.25" customHeight="1" x14ac:dyDescent="0.25">
      <c r="A17" s="12" t="s">
        <v>69</v>
      </c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7"/>
    </row>
    <row r="18" spans="1:21" ht="11.25" customHeight="1" x14ac:dyDescent="0.25">
      <c r="A18" s="14" t="s">
        <v>70</v>
      </c>
      <c r="B18" s="26">
        <v>15094151</v>
      </c>
      <c r="C18" s="16">
        <v>191417</v>
      </c>
      <c r="D18" s="16">
        <v>31401</v>
      </c>
      <c r="E18" s="16">
        <v>2340841</v>
      </c>
      <c r="F18" s="16">
        <v>197474</v>
      </c>
      <c r="G18" s="16">
        <v>3812609</v>
      </c>
      <c r="H18" s="16">
        <v>827372</v>
      </c>
      <c r="I18" s="16">
        <v>587573</v>
      </c>
      <c r="J18" s="16">
        <v>2965749</v>
      </c>
      <c r="K18" s="16">
        <v>2019431</v>
      </c>
      <c r="L18" s="16">
        <v>692347</v>
      </c>
      <c r="M18" s="16">
        <v>426320</v>
      </c>
      <c r="N18" s="16">
        <v>410369</v>
      </c>
      <c r="O18" s="16">
        <v>143930</v>
      </c>
      <c r="P18" s="16">
        <v>179698</v>
      </c>
      <c r="Q18" s="16">
        <v>15863</v>
      </c>
      <c r="R18" s="16">
        <v>182800</v>
      </c>
      <c r="S18" s="16">
        <v>16137</v>
      </c>
      <c r="T18" s="16">
        <v>21261</v>
      </c>
      <c r="U18" s="17">
        <v>31561</v>
      </c>
    </row>
    <row r="19" spans="1:21" ht="11.25" customHeight="1" x14ac:dyDescent="0.25">
      <c r="A19" s="14" t="s">
        <v>71</v>
      </c>
      <c r="B19" s="16">
        <v>3389621</v>
      </c>
      <c r="C19" s="16">
        <v>49164</v>
      </c>
      <c r="D19" s="16">
        <v>11516</v>
      </c>
      <c r="E19" s="16">
        <v>348240</v>
      </c>
      <c r="F19" s="16">
        <v>48283</v>
      </c>
      <c r="G19" s="16">
        <v>861811</v>
      </c>
      <c r="H19" s="16">
        <v>200761</v>
      </c>
      <c r="I19" s="16">
        <v>116341</v>
      </c>
      <c r="J19" s="16">
        <v>860402</v>
      </c>
      <c r="K19" s="16">
        <v>359147</v>
      </c>
      <c r="L19" s="16">
        <v>133896</v>
      </c>
      <c r="M19" s="16">
        <v>125846</v>
      </c>
      <c r="N19" s="16">
        <v>123099</v>
      </c>
      <c r="O19" s="16">
        <v>38974</v>
      </c>
      <c r="P19" s="16">
        <v>37143</v>
      </c>
      <c r="Q19" s="16">
        <v>5048</v>
      </c>
      <c r="R19" s="16">
        <v>54490</v>
      </c>
      <c r="S19" s="16">
        <v>4909</v>
      </c>
      <c r="T19" s="16">
        <v>4825</v>
      </c>
      <c r="U19" s="17">
        <v>5727</v>
      </c>
    </row>
    <row r="20" spans="1:21" ht="11.25" customHeight="1" x14ac:dyDescent="0.25">
      <c r="A20" s="14" t="s">
        <v>72</v>
      </c>
      <c r="B20" s="26">
        <v>107360865</v>
      </c>
      <c r="C20" s="16">
        <v>2689998</v>
      </c>
      <c r="D20" s="16">
        <v>1626310</v>
      </c>
      <c r="E20" s="16">
        <v>14151219</v>
      </c>
      <c r="F20" s="16">
        <v>6425921</v>
      </c>
      <c r="G20" s="16">
        <v>24762502</v>
      </c>
      <c r="H20" s="16">
        <v>8578622</v>
      </c>
      <c r="I20" s="16">
        <v>4296522</v>
      </c>
      <c r="J20" s="16">
        <v>5430044</v>
      </c>
      <c r="K20" s="16">
        <v>10410820</v>
      </c>
      <c r="L20" s="16">
        <v>7382788</v>
      </c>
      <c r="M20" s="16">
        <v>7751893</v>
      </c>
      <c r="N20" s="16">
        <v>4802384</v>
      </c>
      <c r="O20" s="16">
        <v>1046231</v>
      </c>
      <c r="P20" s="16">
        <v>2581870</v>
      </c>
      <c r="Q20" s="16">
        <v>49635</v>
      </c>
      <c r="R20" s="16">
        <v>1823625</v>
      </c>
      <c r="S20" s="16">
        <v>872224</v>
      </c>
      <c r="T20" s="16">
        <v>1708922</v>
      </c>
      <c r="U20" s="17">
        <v>969335</v>
      </c>
    </row>
    <row r="21" spans="1:21" ht="11.25" customHeight="1" x14ac:dyDescent="0.25">
      <c r="A21" s="14" t="s">
        <v>73</v>
      </c>
      <c r="B21" s="16">
        <v>20904675</v>
      </c>
      <c r="C21" s="16">
        <v>449316</v>
      </c>
      <c r="D21" s="16">
        <v>298936</v>
      </c>
      <c r="E21" s="16">
        <v>2538721</v>
      </c>
      <c r="F21" s="16">
        <v>1121084</v>
      </c>
      <c r="G21" s="16">
        <v>6097515</v>
      </c>
      <c r="H21" s="16">
        <v>1632404</v>
      </c>
      <c r="I21" s="16">
        <v>706717</v>
      </c>
      <c r="J21" s="16">
        <v>956681</v>
      </c>
      <c r="K21" s="16">
        <v>1647455</v>
      </c>
      <c r="L21" s="16">
        <v>1291424</v>
      </c>
      <c r="M21" s="16">
        <v>1417057</v>
      </c>
      <c r="N21" s="16">
        <v>1173149</v>
      </c>
      <c r="O21" s="16">
        <v>139570</v>
      </c>
      <c r="P21" s="16">
        <v>470979</v>
      </c>
      <c r="Q21" s="16">
        <v>8364</v>
      </c>
      <c r="R21" s="16">
        <v>331257</v>
      </c>
      <c r="S21" s="16">
        <v>156975</v>
      </c>
      <c r="T21" s="16">
        <v>296273</v>
      </c>
      <c r="U21" s="17">
        <v>170800</v>
      </c>
    </row>
    <row r="22" spans="1:21" ht="11.25" customHeight="1" x14ac:dyDescent="0.25">
      <c r="A22" s="14" t="s">
        <v>74</v>
      </c>
      <c r="B22" s="26">
        <v>58372051</v>
      </c>
      <c r="C22" s="16">
        <v>2956324</v>
      </c>
      <c r="D22" s="16">
        <v>2140145</v>
      </c>
      <c r="E22" s="16">
        <v>5133388</v>
      </c>
      <c r="F22" s="16">
        <v>3237802</v>
      </c>
      <c r="G22" s="16">
        <v>19119563</v>
      </c>
      <c r="H22" s="16">
        <v>3298157</v>
      </c>
      <c r="I22" s="16">
        <v>1341876</v>
      </c>
      <c r="J22" s="16">
        <v>5701800</v>
      </c>
      <c r="K22" s="16">
        <v>2580832</v>
      </c>
      <c r="L22" s="16">
        <v>515435</v>
      </c>
      <c r="M22" s="16">
        <v>5641105</v>
      </c>
      <c r="N22" s="16">
        <v>1308857</v>
      </c>
      <c r="O22" s="16">
        <v>243340</v>
      </c>
      <c r="P22" s="16">
        <v>1395640</v>
      </c>
      <c r="Q22" s="16">
        <v>123286</v>
      </c>
      <c r="R22" s="16">
        <v>651497</v>
      </c>
      <c r="S22" s="16">
        <v>789031</v>
      </c>
      <c r="T22" s="16">
        <v>1214743</v>
      </c>
      <c r="U22" s="17">
        <v>979231</v>
      </c>
    </row>
    <row r="23" spans="1:21" ht="11.25" customHeight="1" x14ac:dyDescent="0.25">
      <c r="A23" s="14" t="s">
        <v>75</v>
      </c>
      <c r="B23" s="16">
        <v>8005773</v>
      </c>
      <c r="C23" s="16">
        <v>343968</v>
      </c>
      <c r="D23" s="16">
        <v>414441</v>
      </c>
      <c r="E23" s="16">
        <v>709187</v>
      </c>
      <c r="F23" s="16">
        <v>410597</v>
      </c>
      <c r="G23" s="16">
        <v>2715189</v>
      </c>
      <c r="H23" s="16">
        <v>444771</v>
      </c>
      <c r="I23" s="16">
        <v>171075</v>
      </c>
      <c r="J23" s="16">
        <v>737282</v>
      </c>
      <c r="K23" s="16">
        <v>439577</v>
      </c>
      <c r="L23" s="16">
        <v>103596</v>
      </c>
      <c r="M23" s="16">
        <v>649746</v>
      </c>
      <c r="N23" s="16">
        <v>163044</v>
      </c>
      <c r="O23" s="16">
        <v>24142</v>
      </c>
      <c r="P23" s="16">
        <v>197371</v>
      </c>
      <c r="Q23" s="16">
        <v>13358</v>
      </c>
      <c r="R23" s="16">
        <v>80059</v>
      </c>
      <c r="S23" s="16">
        <v>106851</v>
      </c>
      <c r="T23" s="16">
        <v>158732</v>
      </c>
      <c r="U23" s="17">
        <v>122788</v>
      </c>
    </row>
    <row r="24" spans="1:21" ht="11.25" customHeight="1" x14ac:dyDescent="0.25">
      <c r="A24" s="14" t="s">
        <v>76</v>
      </c>
      <c r="B24" s="26">
        <v>4187104</v>
      </c>
      <c r="C24" s="16">
        <v>464880</v>
      </c>
      <c r="D24" s="16">
        <v>85142</v>
      </c>
      <c r="E24" s="16">
        <v>984076</v>
      </c>
      <c r="F24" s="16">
        <v>112019</v>
      </c>
      <c r="G24" s="16">
        <v>570919</v>
      </c>
      <c r="H24" s="18">
        <v>0</v>
      </c>
      <c r="I24" s="16">
        <v>175446</v>
      </c>
      <c r="J24" s="16">
        <v>410535</v>
      </c>
      <c r="K24" s="16">
        <v>154254</v>
      </c>
      <c r="L24" s="16">
        <v>8517</v>
      </c>
      <c r="M24" s="16">
        <v>203625</v>
      </c>
      <c r="N24" s="16">
        <v>29906</v>
      </c>
      <c r="O24" s="16">
        <v>10708</v>
      </c>
      <c r="P24" s="16">
        <v>61293</v>
      </c>
      <c r="Q24" s="18">
        <v>0</v>
      </c>
      <c r="R24" s="16">
        <v>5984</v>
      </c>
      <c r="S24" s="16">
        <v>96769</v>
      </c>
      <c r="T24" s="16">
        <v>292503</v>
      </c>
      <c r="U24" s="17">
        <v>221002</v>
      </c>
    </row>
    <row r="25" spans="1:21" ht="11.25" customHeight="1" x14ac:dyDescent="0.25">
      <c r="A25" s="14" t="s">
        <v>77</v>
      </c>
      <c r="B25" s="16">
        <v>354328</v>
      </c>
      <c r="C25" s="16">
        <v>33463</v>
      </c>
      <c r="D25" s="16">
        <v>6201</v>
      </c>
      <c r="E25" s="16">
        <v>88315</v>
      </c>
      <c r="F25" s="16">
        <v>6713</v>
      </c>
      <c r="G25" s="16">
        <v>47448</v>
      </c>
      <c r="H25" s="18">
        <v>0</v>
      </c>
      <c r="I25" s="16">
        <v>14871</v>
      </c>
      <c r="J25" s="16">
        <v>30757</v>
      </c>
      <c r="K25" s="16">
        <v>26703</v>
      </c>
      <c r="L25" s="16">
        <v>880</v>
      </c>
      <c r="M25" s="16">
        <v>12040</v>
      </c>
      <c r="N25" s="16">
        <v>2208</v>
      </c>
      <c r="O25" s="16">
        <v>567</v>
      </c>
      <c r="P25" s="16">
        <v>3434</v>
      </c>
      <c r="Q25" s="18">
        <v>0</v>
      </c>
      <c r="R25" s="16">
        <v>363</v>
      </c>
      <c r="S25" s="16">
        <v>8172</v>
      </c>
      <c r="T25" s="16">
        <v>26923</v>
      </c>
      <c r="U25" s="17">
        <v>21333</v>
      </c>
    </row>
    <row r="26" spans="1:21" ht="11.25" customHeight="1" x14ac:dyDescent="0.25">
      <c r="A26" s="14" t="s">
        <v>78</v>
      </c>
      <c r="B26" s="26">
        <v>52810063</v>
      </c>
      <c r="C26" s="16">
        <v>453765</v>
      </c>
      <c r="D26" s="16">
        <v>48006</v>
      </c>
      <c r="E26" s="16">
        <v>27781939</v>
      </c>
      <c r="F26" s="16">
        <v>769854</v>
      </c>
      <c r="G26" s="16">
        <v>3559326</v>
      </c>
      <c r="H26" s="16">
        <v>4564275</v>
      </c>
      <c r="I26" s="16">
        <v>1836303</v>
      </c>
      <c r="J26" s="16">
        <v>2245380</v>
      </c>
      <c r="K26" s="16">
        <v>2093019</v>
      </c>
      <c r="L26" s="16">
        <v>849851</v>
      </c>
      <c r="M26" s="16">
        <v>3077839</v>
      </c>
      <c r="N26" s="16">
        <v>1506875</v>
      </c>
      <c r="O26" s="16">
        <v>169359</v>
      </c>
      <c r="P26" s="16">
        <v>303828</v>
      </c>
      <c r="Q26" s="16">
        <v>43717</v>
      </c>
      <c r="R26" s="16">
        <v>941287</v>
      </c>
      <c r="S26" s="16">
        <v>397746</v>
      </c>
      <c r="T26" s="16">
        <v>1693582</v>
      </c>
      <c r="U26" s="17">
        <v>474112</v>
      </c>
    </row>
    <row r="27" spans="1:21" ht="11.25" customHeight="1" x14ac:dyDescent="0.25">
      <c r="A27" s="14" t="s">
        <v>79</v>
      </c>
      <c r="B27" s="16">
        <v>2423829</v>
      </c>
      <c r="C27" s="16">
        <v>18134</v>
      </c>
      <c r="D27" s="16">
        <v>2959</v>
      </c>
      <c r="E27" s="16">
        <v>1335358</v>
      </c>
      <c r="F27" s="16">
        <v>34223</v>
      </c>
      <c r="G27" s="16">
        <v>175190</v>
      </c>
      <c r="H27" s="16">
        <v>213687</v>
      </c>
      <c r="I27" s="16">
        <v>75658</v>
      </c>
      <c r="J27" s="16">
        <v>111542</v>
      </c>
      <c r="K27" s="16">
        <v>82065</v>
      </c>
      <c r="L27" s="16">
        <v>41410</v>
      </c>
      <c r="M27" s="16">
        <v>107658</v>
      </c>
      <c r="N27" s="16">
        <v>56290</v>
      </c>
      <c r="O27" s="16">
        <v>28803</v>
      </c>
      <c r="P27" s="16">
        <v>11351</v>
      </c>
      <c r="Q27" s="16">
        <v>1580</v>
      </c>
      <c r="R27" s="16">
        <v>33347</v>
      </c>
      <c r="S27" s="16">
        <v>15089</v>
      </c>
      <c r="T27" s="16">
        <v>61383</v>
      </c>
      <c r="U27" s="17">
        <v>18104</v>
      </c>
    </row>
    <row r="28" spans="1:21" ht="11.25" customHeight="1" x14ac:dyDescent="0.25">
      <c r="A28" s="14" t="s">
        <v>80</v>
      </c>
      <c r="B28" s="26">
        <v>58668248</v>
      </c>
      <c r="C28" s="16">
        <v>431917</v>
      </c>
      <c r="D28" s="18">
        <v>0</v>
      </c>
      <c r="E28" s="16">
        <v>52780409</v>
      </c>
      <c r="F28" s="16">
        <v>916867</v>
      </c>
      <c r="G28" s="16">
        <v>172215</v>
      </c>
      <c r="H28" s="16">
        <v>2035653</v>
      </c>
      <c r="I28" s="18">
        <v>0</v>
      </c>
      <c r="J28" s="16">
        <v>5906</v>
      </c>
      <c r="K28" s="16">
        <v>369777</v>
      </c>
      <c r="L28" s="16">
        <v>1046903</v>
      </c>
      <c r="M28" s="16">
        <v>381511</v>
      </c>
      <c r="N28" s="19">
        <v>808</v>
      </c>
      <c r="O28" s="16">
        <v>445955</v>
      </c>
      <c r="P28" s="18">
        <v>0</v>
      </c>
      <c r="Q28" s="16">
        <v>0</v>
      </c>
      <c r="R28" s="19">
        <v>30409</v>
      </c>
      <c r="S28" s="19">
        <v>19958</v>
      </c>
      <c r="T28" s="19">
        <v>7215</v>
      </c>
      <c r="U28" s="20">
        <v>2529</v>
      </c>
    </row>
    <row r="29" spans="1:21" ht="11.25" customHeight="1" x14ac:dyDescent="0.25">
      <c r="A29" s="14" t="s">
        <v>81</v>
      </c>
      <c r="B29" s="16">
        <v>2194806</v>
      </c>
      <c r="C29" s="16">
        <v>14998</v>
      </c>
      <c r="D29" s="18">
        <v>0</v>
      </c>
      <c r="E29" s="16">
        <v>1975423</v>
      </c>
      <c r="F29" s="16">
        <v>34318</v>
      </c>
      <c r="G29" s="16">
        <v>8987</v>
      </c>
      <c r="H29" s="16">
        <v>74846</v>
      </c>
      <c r="I29" s="18">
        <v>0</v>
      </c>
      <c r="J29" s="16">
        <v>190</v>
      </c>
      <c r="K29" s="16">
        <v>14055</v>
      </c>
      <c r="L29" s="16">
        <v>38996</v>
      </c>
      <c r="M29" s="16">
        <v>8191</v>
      </c>
      <c r="N29" s="19">
        <v>1871</v>
      </c>
      <c r="O29" s="16">
        <v>19697</v>
      </c>
      <c r="P29" s="18">
        <v>0</v>
      </c>
      <c r="Q29" s="16">
        <v>0</v>
      </c>
      <c r="R29" s="19">
        <v>867</v>
      </c>
      <c r="S29" s="19">
        <v>580</v>
      </c>
      <c r="T29" s="19">
        <v>194</v>
      </c>
      <c r="U29" s="20">
        <v>63</v>
      </c>
    </row>
    <row r="30" spans="1:21" ht="11.25" customHeight="1" x14ac:dyDescent="0.25">
      <c r="A30" s="14" t="s">
        <v>82</v>
      </c>
      <c r="B30" s="18">
        <v>0</v>
      </c>
      <c r="C30" s="18">
        <v>0</v>
      </c>
      <c r="D30" s="18">
        <v>0</v>
      </c>
      <c r="E30" s="16">
        <v>2762332</v>
      </c>
      <c r="F30" s="19">
        <v>15444</v>
      </c>
      <c r="G30" s="16">
        <v>14672</v>
      </c>
      <c r="H30" s="16">
        <v>14090</v>
      </c>
      <c r="I30" s="18">
        <v>0</v>
      </c>
      <c r="J30" s="19">
        <v>103698</v>
      </c>
      <c r="K30" s="19">
        <v>50312</v>
      </c>
      <c r="L30" s="16">
        <v>8841</v>
      </c>
      <c r="M30" s="19">
        <v>616</v>
      </c>
      <c r="N30" s="18">
        <v>0</v>
      </c>
      <c r="O30" s="16">
        <v>2309</v>
      </c>
      <c r="P30" s="18">
        <v>0</v>
      </c>
      <c r="Q30" s="16">
        <v>0</v>
      </c>
      <c r="R30" s="19">
        <v>45932</v>
      </c>
      <c r="S30" s="18">
        <v>0</v>
      </c>
      <c r="T30" s="19">
        <v>170511</v>
      </c>
      <c r="U30" s="21">
        <v>0</v>
      </c>
    </row>
    <row r="31" spans="1:21" ht="11.25" customHeight="1" x14ac:dyDescent="0.25">
      <c r="A31" s="14" t="s">
        <v>83</v>
      </c>
      <c r="B31" s="18">
        <v>0</v>
      </c>
      <c r="C31" s="18">
        <v>0</v>
      </c>
      <c r="D31" s="18">
        <v>0</v>
      </c>
      <c r="E31" s="16">
        <v>62654</v>
      </c>
      <c r="F31" s="19">
        <v>453</v>
      </c>
      <c r="G31" s="16">
        <v>601</v>
      </c>
      <c r="H31" s="16">
        <v>274</v>
      </c>
      <c r="I31" s="18">
        <v>0</v>
      </c>
      <c r="J31" s="19">
        <v>2088</v>
      </c>
      <c r="K31" s="19">
        <v>1052</v>
      </c>
      <c r="L31" s="16">
        <v>102</v>
      </c>
      <c r="M31" s="19">
        <v>8</v>
      </c>
      <c r="N31" s="18">
        <v>0</v>
      </c>
      <c r="O31" s="16">
        <v>13</v>
      </c>
      <c r="P31" s="18">
        <v>0</v>
      </c>
      <c r="Q31" s="16">
        <v>0</v>
      </c>
      <c r="R31" s="19">
        <v>1668</v>
      </c>
      <c r="S31" s="18">
        <v>0</v>
      </c>
      <c r="T31" s="19">
        <v>4233</v>
      </c>
      <c r="U31" s="21">
        <v>0</v>
      </c>
    </row>
    <row r="32" spans="1:21" ht="11.25" customHeight="1" x14ac:dyDescent="0.25">
      <c r="A32" s="14" t="s">
        <v>84</v>
      </c>
      <c r="B32" s="28">
        <v>22911737</v>
      </c>
      <c r="C32" s="16">
        <v>202314</v>
      </c>
      <c r="D32" s="16">
        <v>19093</v>
      </c>
      <c r="E32" s="18">
        <v>0</v>
      </c>
      <c r="F32" s="16">
        <v>1463424</v>
      </c>
      <c r="G32" s="16">
        <v>339164</v>
      </c>
      <c r="H32" s="16">
        <v>183586</v>
      </c>
      <c r="I32" s="16">
        <v>350633</v>
      </c>
      <c r="J32" s="18">
        <v>0</v>
      </c>
      <c r="K32" s="16">
        <v>18796</v>
      </c>
      <c r="L32" s="16">
        <v>306825</v>
      </c>
      <c r="M32" s="16">
        <v>17082287</v>
      </c>
      <c r="N32" s="16">
        <v>1269558</v>
      </c>
      <c r="O32" s="16">
        <v>752324</v>
      </c>
      <c r="P32" s="16">
        <v>45036</v>
      </c>
      <c r="Q32" s="18">
        <v>0</v>
      </c>
      <c r="R32" s="16">
        <v>435711</v>
      </c>
      <c r="S32" s="16">
        <v>117574</v>
      </c>
      <c r="T32" s="16">
        <v>146704</v>
      </c>
      <c r="U32" s="20">
        <v>37331</v>
      </c>
    </row>
    <row r="33" spans="1:21" ht="11.25" customHeight="1" x14ac:dyDescent="0.25">
      <c r="A33" s="14" t="s">
        <v>85</v>
      </c>
      <c r="B33" s="16">
        <v>465620</v>
      </c>
      <c r="C33" s="16">
        <v>3005</v>
      </c>
      <c r="D33" s="16">
        <v>282</v>
      </c>
      <c r="E33" s="18">
        <v>0</v>
      </c>
      <c r="F33" s="16">
        <v>29300</v>
      </c>
      <c r="G33" s="16">
        <v>4911</v>
      </c>
      <c r="H33" s="16">
        <v>5294</v>
      </c>
      <c r="I33" s="16">
        <v>5953</v>
      </c>
      <c r="J33" s="18">
        <v>0</v>
      </c>
      <c r="K33" s="16">
        <v>296</v>
      </c>
      <c r="L33" s="16">
        <v>6192</v>
      </c>
      <c r="M33" s="16">
        <v>353052</v>
      </c>
      <c r="N33" s="16">
        <v>20983</v>
      </c>
      <c r="O33" s="16">
        <v>19031</v>
      </c>
      <c r="P33" s="16">
        <v>1415</v>
      </c>
      <c r="Q33" s="18">
        <v>0</v>
      </c>
      <c r="R33" s="16">
        <v>8470</v>
      </c>
      <c r="S33" s="16">
        <v>1502</v>
      </c>
      <c r="T33" s="16">
        <v>2665</v>
      </c>
      <c r="U33" s="20">
        <v>761</v>
      </c>
    </row>
    <row r="34" spans="1:21" ht="11.25" customHeight="1" x14ac:dyDescent="0.25">
      <c r="A34" s="14" t="s">
        <v>86</v>
      </c>
      <c r="B34" s="28">
        <v>131611267</v>
      </c>
      <c r="C34" s="16">
        <v>998104</v>
      </c>
      <c r="D34" s="16">
        <v>492280</v>
      </c>
      <c r="E34" s="16">
        <v>3645963</v>
      </c>
      <c r="F34" s="16">
        <v>2641583</v>
      </c>
      <c r="G34" s="16">
        <v>31205423</v>
      </c>
      <c r="H34" s="16">
        <v>6734363</v>
      </c>
      <c r="I34" s="16">
        <v>17331176</v>
      </c>
      <c r="J34" s="16">
        <v>2713326</v>
      </c>
      <c r="K34" s="16">
        <v>10443983</v>
      </c>
      <c r="L34" s="16">
        <v>4991127</v>
      </c>
      <c r="M34" s="16">
        <v>26843004</v>
      </c>
      <c r="N34" s="16">
        <v>2928662</v>
      </c>
      <c r="O34" s="16">
        <v>3806776</v>
      </c>
      <c r="P34" s="16">
        <v>1127086</v>
      </c>
      <c r="Q34" s="16">
        <v>338067</v>
      </c>
      <c r="R34" s="16">
        <v>3814052</v>
      </c>
      <c r="S34" s="16">
        <v>1861562</v>
      </c>
      <c r="T34" s="16">
        <v>8143003</v>
      </c>
      <c r="U34" s="17">
        <v>1551728</v>
      </c>
    </row>
    <row r="35" spans="1:21" ht="11.25" customHeight="1" x14ac:dyDescent="0.25">
      <c r="A35" s="14" t="s">
        <v>87</v>
      </c>
      <c r="B35" s="16">
        <v>1780262</v>
      </c>
      <c r="C35" s="16">
        <v>17466</v>
      </c>
      <c r="D35" s="16">
        <v>5237</v>
      </c>
      <c r="E35" s="16">
        <v>44076</v>
      </c>
      <c r="F35" s="16">
        <v>33194</v>
      </c>
      <c r="G35" s="16">
        <v>446411</v>
      </c>
      <c r="H35" s="16">
        <v>94647</v>
      </c>
      <c r="I35" s="16">
        <v>261760</v>
      </c>
      <c r="J35" s="16">
        <v>38204</v>
      </c>
      <c r="K35" s="16">
        <v>128007</v>
      </c>
      <c r="L35" s="16">
        <v>64224</v>
      </c>
      <c r="M35" s="16">
        <v>313821</v>
      </c>
      <c r="N35" s="16">
        <v>45670</v>
      </c>
      <c r="O35" s="16">
        <v>46548</v>
      </c>
      <c r="P35" s="16">
        <v>17364</v>
      </c>
      <c r="Q35" s="16">
        <v>5972</v>
      </c>
      <c r="R35" s="16">
        <v>52725</v>
      </c>
      <c r="S35" s="16">
        <v>20967</v>
      </c>
      <c r="T35" s="16">
        <v>115451</v>
      </c>
      <c r="U35" s="17">
        <v>28516</v>
      </c>
    </row>
    <row r="36" spans="1:21" ht="11.25" customHeight="1" x14ac:dyDescent="0.25">
      <c r="A36" s="14" t="s">
        <v>88</v>
      </c>
      <c r="B36" s="18">
        <v>0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8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7">
        <v>0</v>
      </c>
    </row>
    <row r="37" spans="1:21" ht="11.25" customHeight="1" x14ac:dyDescent="0.25">
      <c r="A37" s="14" t="s">
        <v>89</v>
      </c>
      <c r="B37" s="18">
        <v>0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8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7">
        <v>0</v>
      </c>
    </row>
    <row r="38" spans="1:21" s="6" customFormat="1" ht="11.25" customHeight="1" x14ac:dyDescent="0.25">
      <c r="A38" s="12" t="s">
        <v>90</v>
      </c>
      <c r="B38" s="18"/>
      <c r="C38" s="16"/>
      <c r="D38" s="16"/>
      <c r="E38" s="16"/>
      <c r="F38" s="16"/>
      <c r="G38" s="16"/>
      <c r="H38" s="16"/>
      <c r="I38" s="16"/>
      <c r="J38" s="18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7"/>
    </row>
    <row r="39" spans="1:21" ht="11.25" customHeight="1" x14ac:dyDescent="0.25">
      <c r="A39" s="14" t="s">
        <v>91</v>
      </c>
      <c r="B39" s="28">
        <v>57877683</v>
      </c>
      <c r="C39" s="16">
        <v>203470</v>
      </c>
      <c r="D39" s="16">
        <v>2096004</v>
      </c>
      <c r="E39" s="16">
        <v>2155266</v>
      </c>
      <c r="F39" s="16">
        <v>146625</v>
      </c>
      <c r="G39" s="16">
        <v>25718459</v>
      </c>
      <c r="H39" s="16">
        <v>1332996</v>
      </c>
      <c r="I39" s="16">
        <v>977630</v>
      </c>
      <c r="J39" s="16">
        <v>320661</v>
      </c>
      <c r="K39" s="16">
        <v>1880488</v>
      </c>
      <c r="L39" s="16">
        <v>5330150</v>
      </c>
      <c r="M39" s="16">
        <v>14857349</v>
      </c>
      <c r="N39" s="16">
        <v>281177</v>
      </c>
      <c r="O39" s="16">
        <v>1563347</v>
      </c>
      <c r="P39" s="16">
        <v>60429</v>
      </c>
      <c r="Q39" s="16">
        <v>1734</v>
      </c>
      <c r="R39" s="16">
        <v>45629</v>
      </c>
      <c r="S39" s="16">
        <v>66969</v>
      </c>
      <c r="T39" s="16">
        <v>807903</v>
      </c>
      <c r="U39" s="20">
        <v>31397</v>
      </c>
    </row>
    <row r="40" spans="1:21" ht="11.25" customHeight="1" x14ac:dyDescent="0.25">
      <c r="A40" s="14" t="s">
        <v>92</v>
      </c>
      <c r="B40" s="16">
        <v>3290860</v>
      </c>
      <c r="C40" s="16">
        <v>9010</v>
      </c>
      <c r="D40" s="16">
        <v>114160</v>
      </c>
      <c r="E40" s="16">
        <v>47890</v>
      </c>
      <c r="F40" s="16">
        <v>15518</v>
      </c>
      <c r="G40" s="16">
        <v>1067504</v>
      </c>
      <c r="H40" s="16">
        <v>104278</v>
      </c>
      <c r="I40" s="16">
        <v>306428</v>
      </c>
      <c r="J40" s="16">
        <v>15532</v>
      </c>
      <c r="K40" s="16">
        <v>131937</v>
      </c>
      <c r="L40" s="16">
        <v>483339</v>
      </c>
      <c r="M40" s="16">
        <v>754508</v>
      </c>
      <c r="N40" s="16">
        <v>44075</v>
      </c>
      <c r="O40" s="16">
        <v>163499</v>
      </c>
      <c r="P40" s="16">
        <v>4543</v>
      </c>
      <c r="Q40" s="16">
        <v>104</v>
      </c>
      <c r="R40" s="16">
        <v>3097</v>
      </c>
      <c r="S40" s="16">
        <v>3641</v>
      </c>
      <c r="T40" s="16">
        <v>19954</v>
      </c>
      <c r="U40" s="20">
        <v>1843</v>
      </c>
    </row>
    <row r="41" spans="1:21" ht="11.25" customHeight="1" x14ac:dyDescent="0.25">
      <c r="A41" s="14" t="s">
        <v>93</v>
      </c>
      <c r="B41" s="26">
        <v>6862102</v>
      </c>
      <c r="C41" s="16">
        <v>39903</v>
      </c>
      <c r="D41" s="18">
        <v>0</v>
      </c>
      <c r="E41" s="16">
        <v>1327143</v>
      </c>
      <c r="F41" s="18">
        <v>0</v>
      </c>
      <c r="G41" s="16">
        <v>1551824</v>
      </c>
      <c r="H41" s="16">
        <v>141708</v>
      </c>
      <c r="I41" s="19">
        <v>3646</v>
      </c>
      <c r="J41" s="16">
        <v>648040</v>
      </c>
      <c r="K41" s="16">
        <v>38459</v>
      </c>
      <c r="L41" s="19">
        <v>207519</v>
      </c>
      <c r="M41" s="16">
        <v>2779475</v>
      </c>
      <c r="N41" s="16">
        <v>102457</v>
      </c>
      <c r="O41" s="18">
        <v>0</v>
      </c>
      <c r="P41" s="18">
        <v>0</v>
      </c>
      <c r="Q41" s="18">
        <v>0</v>
      </c>
      <c r="R41" s="18">
        <v>0</v>
      </c>
      <c r="S41" s="18">
        <v>0</v>
      </c>
      <c r="T41" s="18">
        <v>0</v>
      </c>
      <c r="U41" s="21">
        <v>0</v>
      </c>
    </row>
    <row r="42" spans="1:21" ht="11.25" customHeight="1" x14ac:dyDescent="0.25">
      <c r="A42" s="14" t="s">
        <v>94</v>
      </c>
      <c r="B42" s="16">
        <v>244186</v>
      </c>
      <c r="C42" s="16">
        <v>1782</v>
      </c>
      <c r="D42" s="18">
        <v>0</v>
      </c>
      <c r="E42" s="16">
        <v>24622</v>
      </c>
      <c r="F42" s="18">
        <v>0</v>
      </c>
      <c r="G42" s="16">
        <v>56199</v>
      </c>
      <c r="H42" s="16">
        <v>6171</v>
      </c>
      <c r="I42" s="19">
        <v>287</v>
      </c>
      <c r="J42" s="16">
        <v>24940</v>
      </c>
      <c r="K42" s="16">
        <v>1310</v>
      </c>
      <c r="L42" s="19">
        <v>20741</v>
      </c>
      <c r="M42" s="16">
        <v>102627</v>
      </c>
      <c r="N42" s="16">
        <v>4217</v>
      </c>
      <c r="O42" s="18">
        <v>0</v>
      </c>
      <c r="P42" s="18">
        <v>0</v>
      </c>
      <c r="Q42" s="18">
        <v>0</v>
      </c>
      <c r="R42" s="18">
        <v>0</v>
      </c>
      <c r="S42" s="18">
        <v>0</v>
      </c>
      <c r="T42" s="18">
        <v>0</v>
      </c>
      <c r="U42" s="21">
        <v>0</v>
      </c>
    </row>
    <row r="43" spans="1:21" ht="11.25" customHeight="1" x14ac:dyDescent="0.25">
      <c r="A43" s="14" t="s">
        <v>95</v>
      </c>
      <c r="B43" s="28">
        <v>32160804</v>
      </c>
      <c r="C43" s="18">
        <v>0</v>
      </c>
      <c r="D43" s="18">
        <v>0</v>
      </c>
      <c r="E43" s="18">
        <v>0</v>
      </c>
      <c r="F43" s="18">
        <v>0</v>
      </c>
      <c r="G43" s="16">
        <v>105947</v>
      </c>
      <c r="H43" s="18">
        <v>0</v>
      </c>
      <c r="I43" s="19">
        <v>29870</v>
      </c>
      <c r="J43" s="18">
        <v>0</v>
      </c>
      <c r="K43" s="16">
        <v>0</v>
      </c>
      <c r="L43" s="16">
        <v>587363</v>
      </c>
      <c r="M43" s="16">
        <v>28687818</v>
      </c>
      <c r="N43" s="18">
        <v>0</v>
      </c>
      <c r="O43" s="19">
        <v>114086</v>
      </c>
      <c r="P43" s="16">
        <v>0</v>
      </c>
      <c r="Q43" s="16">
        <v>0</v>
      </c>
      <c r="R43" s="16">
        <v>167712</v>
      </c>
      <c r="S43" s="16">
        <v>0</v>
      </c>
      <c r="T43" s="18">
        <v>0</v>
      </c>
      <c r="U43" s="17">
        <v>0</v>
      </c>
    </row>
    <row r="44" spans="1:21" ht="11.25" customHeight="1" x14ac:dyDescent="0.25">
      <c r="A44" s="14" t="s">
        <v>96</v>
      </c>
      <c r="B44" s="16">
        <v>671084</v>
      </c>
      <c r="C44" s="18">
        <v>0</v>
      </c>
      <c r="D44" s="18">
        <v>0</v>
      </c>
      <c r="E44" s="18">
        <v>0</v>
      </c>
      <c r="F44" s="18">
        <v>0</v>
      </c>
      <c r="G44" s="16">
        <v>433</v>
      </c>
      <c r="H44" s="18">
        <v>0</v>
      </c>
      <c r="I44" s="19">
        <v>944</v>
      </c>
      <c r="J44" s="18">
        <v>0</v>
      </c>
      <c r="K44" s="16">
        <v>0</v>
      </c>
      <c r="L44" s="16">
        <v>12484</v>
      </c>
      <c r="M44" s="16">
        <v>571143</v>
      </c>
      <c r="N44" s="18">
        <v>0</v>
      </c>
      <c r="O44" s="19">
        <v>2149</v>
      </c>
      <c r="P44" s="16">
        <v>0</v>
      </c>
      <c r="Q44" s="16">
        <v>0</v>
      </c>
      <c r="R44" s="16">
        <v>3022</v>
      </c>
      <c r="S44" s="16">
        <v>0</v>
      </c>
      <c r="T44" s="18">
        <v>0</v>
      </c>
      <c r="U44" s="17">
        <v>0</v>
      </c>
    </row>
    <row r="45" spans="1:21" ht="11.25" customHeight="1" x14ac:dyDescent="0.25">
      <c r="A45" s="14" t="s">
        <v>97</v>
      </c>
      <c r="B45" s="28">
        <v>76053027</v>
      </c>
      <c r="C45" s="16">
        <v>29727</v>
      </c>
      <c r="D45" s="16">
        <v>43777</v>
      </c>
      <c r="E45" s="16">
        <v>41298</v>
      </c>
      <c r="F45" s="16">
        <v>169053</v>
      </c>
      <c r="G45" s="16">
        <v>1808147</v>
      </c>
      <c r="H45" s="16">
        <v>202085</v>
      </c>
      <c r="I45" s="16">
        <v>753898</v>
      </c>
      <c r="J45" s="16">
        <v>81597</v>
      </c>
      <c r="K45" s="16">
        <v>223062</v>
      </c>
      <c r="L45" s="16">
        <v>1082516</v>
      </c>
      <c r="M45" s="16">
        <v>70945978</v>
      </c>
      <c r="N45" s="16">
        <v>93634</v>
      </c>
      <c r="O45" s="18">
        <v>0</v>
      </c>
      <c r="P45" s="16">
        <v>3613</v>
      </c>
      <c r="Q45" s="18">
        <v>0</v>
      </c>
      <c r="R45" s="18">
        <v>0</v>
      </c>
      <c r="S45" s="18">
        <v>0</v>
      </c>
      <c r="T45" s="16">
        <v>327224</v>
      </c>
      <c r="U45" s="21">
        <v>0</v>
      </c>
    </row>
    <row r="46" spans="1:21" ht="11.25" customHeight="1" x14ac:dyDescent="0.25">
      <c r="A46" s="14" t="s">
        <v>98</v>
      </c>
      <c r="B46" s="16">
        <v>1106772</v>
      </c>
      <c r="C46" s="16">
        <v>152</v>
      </c>
      <c r="D46" s="16">
        <v>578</v>
      </c>
      <c r="E46" s="16">
        <v>482</v>
      </c>
      <c r="F46" s="16">
        <v>1158</v>
      </c>
      <c r="G46" s="16">
        <v>23733</v>
      </c>
      <c r="H46" s="16">
        <v>2749</v>
      </c>
      <c r="I46" s="16">
        <v>12154</v>
      </c>
      <c r="J46" s="16">
        <v>514</v>
      </c>
      <c r="K46" s="16">
        <v>3796</v>
      </c>
      <c r="L46" s="16">
        <v>14712</v>
      </c>
      <c r="M46" s="16">
        <v>1029090</v>
      </c>
      <c r="N46" s="16">
        <v>798</v>
      </c>
      <c r="O46" s="18">
        <v>0</v>
      </c>
      <c r="P46" s="16">
        <v>78</v>
      </c>
      <c r="Q46" s="18">
        <v>0</v>
      </c>
      <c r="R46" s="18">
        <v>0</v>
      </c>
      <c r="S46" s="18">
        <v>0</v>
      </c>
      <c r="T46" s="16">
        <v>5266</v>
      </c>
      <c r="U46" s="21">
        <v>0</v>
      </c>
    </row>
    <row r="47" spans="1:21" s="6" customFormat="1" ht="11.25" customHeight="1" x14ac:dyDescent="0.25">
      <c r="A47" s="10" t="s">
        <v>6</v>
      </c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8"/>
      <c r="P47" s="16"/>
      <c r="Q47" s="18"/>
      <c r="R47" s="18"/>
      <c r="S47" s="18"/>
      <c r="T47" s="16"/>
      <c r="U47" s="21"/>
    </row>
    <row r="48" spans="1:21" ht="11.25" customHeight="1" x14ac:dyDescent="0.25">
      <c r="A48" s="14" t="s">
        <v>99</v>
      </c>
      <c r="B48" s="26">
        <v>34166028</v>
      </c>
      <c r="C48" s="16">
        <v>639095</v>
      </c>
      <c r="D48" s="16">
        <v>457390</v>
      </c>
      <c r="E48" s="16">
        <v>82340</v>
      </c>
      <c r="F48" s="16">
        <v>8504560</v>
      </c>
      <c r="G48" s="16">
        <v>2320421</v>
      </c>
      <c r="H48" s="16">
        <v>2676720</v>
      </c>
      <c r="I48" s="16">
        <v>2669665</v>
      </c>
      <c r="J48" s="16">
        <v>3094493</v>
      </c>
      <c r="K48" s="16">
        <v>292182</v>
      </c>
      <c r="L48" s="16">
        <v>1474895</v>
      </c>
      <c r="M48" s="16">
        <v>1923200</v>
      </c>
      <c r="N48" s="16">
        <v>3371591</v>
      </c>
      <c r="O48" s="16">
        <v>67833</v>
      </c>
      <c r="P48" s="16">
        <v>2108951</v>
      </c>
      <c r="Q48" s="16">
        <v>123761</v>
      </c>
      <c r="R48" s="16">
        <v>1744214</v>
      </c>
      <c r="S48" s="16">
        <v>423769</v>
      </c>
      <c r="T48" s="16">
        <v>881403</v>
      </c>
      <c r="U48" s="17">
        <v>1309548</v>
      </c>
    </row>
    <row r="49" spans="1:21" s="6" customFormat="1" ht="11.25" customHeight="1" x14ac:dyDescent="0.25">
      <c r="A49" s="13" t="s">
        <v>100</v>
      </c>
      <c r="B49" s="24">
        <v>1262739279</v>
      </c>
      <c r="C49" s="24">
        <v>18993763</v>
      </c>
      <c r="D49" s="24">
        <v>35694995</v>
      </c>
      <c r="E49" s="24">
        <v>69535248</v>
      </c>
      <c r="F49" s="24">
        <v>52532414</v>
      </c>
      <c r="G49" s="24">
        <v>304386533</v>
      </c>
      <c r="H49" s="24">
        <v>88797747</v>
      </c>
      <c r="I49" s="24">
        <v>126346496</v>
      </c>
      <c r="J49" s="24">
        <v>85102728</v>
      </c>
      <c r="K49" s="24">
        <v>155279509</v>
      </c>
      <c r="L49" s="24">
        <v>50757402</v>
      </c>
      <c r="M49" s="24">
        <v>119694778</v>
      </c>
      <c r="N49" s="24">
        <v>30139726</v>
      </c>
      <c r="O49" s="24">
        <v>41299795</v>
      </c>
      <c r="P49" s="24">
        <v>18755312</v>
      </c>
      <c r="Q49" s="24">
        <v>1378496</v>
      </c>
      <c r="R49" s="24">
        <v>20620255</v>
      </c>
      <c r="S49" s="24">
        <v>8818895</v>
      </c>
      <c r="T49" s="24">
        <v>25351011</v>
      </c>
      <c r="U49" s="25">
        <v>9254175</v>
      </c>
    </row>
    <row r="50" spans="1:21" x14ac:dyDescent="0.25">
      <c r="A50" s="30" t="s">
        <v>101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</row>
    <row r="51" spans="1:21" x14ac:dyDescent="0.25">
      <c r="A51" s="32"/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</row>
    <row r="52" spans="1:21" x14ac:dyDescent="0.25">
      <c r="A52" s="32"/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</row>
    <row r="53" spans="1:21" x14ac:dyDescent="0.25">
      <c r="A53" s="32"/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</row>
    <row r="54" spans="1:21" x14ac:dyDescent="0.25">
      <c r="A54" s="32"/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</row>
    <row r="55" spans="1:21" x14ac:dyDescent="0.25">
      <c r="A55" s="32"/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</row>
    <row r="56" spans="1:21" x14ac:dyDescent="0.25">
      <c r="A56" s="32"/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</row>
    <row r="57" spans="1:21" x14ac:dyDescent="0.25">
      <c r="A57" s="32"/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</row>
    <row r="58" spans="1:21" x14ac:dyDescent="0.25">
      <c r="A58" s="32"/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</row>
    <row r="59" spans="1:21" x14ac:dyDescent="0.25">
      <c r="C59" s="39" t="s">
        <v>0</v>
      </c>
      <c r="D59" s="40"/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</row>
    <row r="62" spans="1:21" x14ac:dyDescent="0.25">
      <c r="B62" s="27">
        <f>+B9+B11+B41+B48</f>
        <v>836938558</v>
      </c>
      <c r="C62" s="27">
        <f>+C9+C11+C41+C48</f>
        <v>14126129</v>
      </c>
      <c r="D62" s="27">
        <f>9+11+48</f>
        <v>68</v>
      </c>
      <c r="E62" s="27">
        <f>+E9+E11+E41+E48</f>
        <v>6438171</v>
      </c>
      <c r="F62" s="27">
        <f>+F9+F11+F41+F48</f>
        <v>48036268</v>
      </c>
      <c r="G62" s="27">
        <f>+G9+G11+G41+G48</f>
        <v>198564052</v>
      </c>
      <c r="H62" s="27">
        <f>+H9+H11+H41+H48</f>
        <v>61409947</v>
      </c>
      <c r="I62" s="27">
        <f>+I9+I11+I41+I48</f>
        <v>94967210</v>
      </c>
      <c r="J62" s="27">
        <f>+J9+J11+J41+J48</f>
        <v>64533423</v>
      </c>
      <c r="K62" s="27">
        <f>+K9+K11+K41+K48</f>
        <v>113865722</v>
      </c>
      <c r="L62" s="27">
        <f>+L9+L11+L41+L48</f>
        <v>30878023</v>
      </c>
      <c r="M62" s="27">
        <f t="shared" ref="M62:U62" si="0">+M9+M11+M41+M48</f>
        <v>69209084</v>
      </c>
      <c r="N62" s="27">
        <f t="shared" si="0"/>
        <v>22783865</v>
      </c>
      <c r="O62" s="27">
        <f t="shared" si="0"/>
        <v>25166418</v>
      </c>
      <c r="P62" s="27">
        <f t="shared" si="0"/>
        <v>14126913</v>
      </c>
      <c r="Q62" s="27">
        <f t="shared" si="0"/>
        <v>1046321</v>
      </c>
      <c r="R62" s="27">
        <f t="shared" si="0"/>
        <v>16728404</v>
      </c>
      <c r="S62" s="27">
        <f t="shared" si="0"/>
        <v>6517680</v>
      </c>
      <c r="T62" s="27">
        <f t="shared" si="0"/>
        <v>18012145</v>
      </c>
      <c r="U62" s="27">
        <f t="shared" si="0"/>
        <v>7608440</v>
      </c>
    </row>
    <row r="63" spans="1:21" x14ac:dyDescent="0.25">
      <c r="B63" s="27">
        <f>+B18+B20+B22+B24+B26+B28</f>
        <v>296492482</v>
      </c>
      <c r="C63" s="27">
        <f>+C18+C20+C22+C24+C26+C28</f>
        <v>7188301</v>
      </c>
      <c r="D63" s="41">
        <f>18+20+22+24+26+28</f>
        <v>138</v>
      </c>
      <c r="E63" s="27">
        <f>+E18+E20+E22+E24+E26+E28</f>
        <v>103171872</v>
      </c>
      <c r="F63" s="27">
        <f>+F18+F20+F22+F24+F26+F28</f>
        <v>11659937</v>
      </c>
      <c r="G63" s="27">
        <f>+G18+G20+G22+G24+G26+G28</f>
        <v>51997134</v>
      </c>
      <c r="H63" s="27">
        <f>+H18+H20+H22+H24+H26+H28</f>
        <v>19304079</v>
      </c>
      <c r="I63" s="27">
        <f>+I18+I20+I22+I24+I26+I28</f>
        <v>8237720</v>
      </c>
      <c r="J63" s="27">
        <f>+J18+J20+J22+J24+J26+J28</f>
        <v>16759414</v>
      </c>
      <c r="K63" s="27">
        <f>+K18+K20+K22+K24+K26+K28</f>
        <v>17628133</v>
      </c>
      <c r="L63" s="27">
        <f>+L18+L20+L22+L24+L26+L28</f>
        <v>10495841</v>
      </c>
      <c r="M63" s="27">
        <f t="shared" ref="M63:U63" si="1">+M18+M20+M22+M24+M26+M28</f>
        <v>17482293</v>
      </c>
      <c r="N63" s="27">
        <f t="shared" si="1"/>
        <v>8059199</v>
      </c>
      <c r="O63" s="27">
        <f t="shared" si="1"/>
        <v>2059523</v>
      </c>
      <c r="P63" s="27">
        <f t="shared" si="1"/>
        <v>4522329</v>
      </c>
      <c r="Q63" s="27">
        <f t="shared" si="1"/>
        <v>232501</v>
      </c>
      <c r="R63" s="27">
        <f t="shared" si="1"/>
        <v>3635602</v>
      </c>
      <c r="S63" s="27">
        <f t="shared" si="1"/>
        <v>2191865</v>
      </c>
      <c r="T63" s="27">
        <f t="shared" si="1"/>
        <v>4938226</v>
      </c>
      <c r="U63" s="27">
        <f t="shared" si="1"/>
        <v>2677770</v>
      </c>
    </row>
    <row r="64" spans="1:21" x14ac:dyDescent="0.25">
      <c r="B64" s="27">
        <f>+B62+B63</f>
        <v>1133431040</v>
      </c>
      <c r="C64" s="27">
        <f>+C62+C63</f>
        <v>21314430</v>
      </c>
      <c r="D64" s="27">
        <f>59+60</f>
        <v>119</v>
      </c>
      <c r="E64" s="27">
        <f t="shared" ref="C64:L64" si="2">+E62+E63</f>
        <v>109610043</v>
      </c>
      <c r="F64" s="27">
        <f t="shared" si="2"/>
        <v>59696205</v>
      </c>
      <c r="G64" s="27">
        <f t="shared" si="2"/>
        <v>250561186</v>
      </c>
      <c r="H64" s="27">
        <f t="shared" si="2"/>
        <v>80714026</v>
      </c>
      <c r="I64" s="27">
        <f t="shared" si="2"/>
        <v>103204930</v>
      </c>
      <c r="J64" s="27">
        <f t="shared" si="2"/>
        <v>81292837</v>
      </c>
      <c r="K64" s="27">
        <f t="shared" si="2"/>
        <v>131493855</v>
      </c>
      <c r="L64" s="27">
        <f t="shared" si="2"/>
        <v>41373864</v>
      </c>
      <c r="M64" s="27">
        <f t="shared" ref="M64" si="3">+M62+M63</f>
        <v>86691377</v>
      </c>
      <c r="N64" s="27">
        <f t="shared" ref="N64" si="4">+N62+N63</f>
        <v>30843064</v>
      </c>
      <c r="O64" s="27">
        <f t="shared" ref="O64" si="5">+O62+O63</f>
        <v>27225941</v>
      </c>
      <c r="P64" s="27">
        <f t="shared" ref="P64" si="6">+P62+P63</f>
        <v>18649242</v>
      </c>
      <c r="Q64" s="27">
        <f t="shared" ref="Q64" si="7">+Q62+Q63</f>
        <v>1278822</v>
      </c>
      <c r="R64" s="27">
        <f t="shared" ref="R64" si="8">+R62+R63</f>
        <v>20364006</v>
      </c>
      <c r="S64" s="27">
        <f t="shared" ref="S64" si="9">+S62+S63</f>
        <v>8709545</v>
      </c>
      <c r="T64" s="27">
        <f t="shared" ref="T64" si="10">+T62+T63</f>
        <v>22950371</v>
      </c>
      <c r="U64" s="27">
        <f t="shared" ref="U64" si="11">+U62+U63</f>
        <v>10286210</v>
      </c>
    </row>
    <row r="66" spans="2:21" x14ac:dyDescent="0.25">
      <c r="B66" s="27">
        <f>+B32+B34+B39+B43+B45</f>
        <v>320614518</v>
      </c>
      <c r="C66" s="27">
        <f>+C32+C34+C39+C45</f>
        <v>1433615</v>
      </c>
      <c r="D66" s="27">
        <f>32+34+39+43+45</f>
        <v>193</v>
      </c>
      <c r="E66" s="27">
        <f>+E32+E34+E39+E43+E45</f>
        <v>5842527</v>
      </c>
      <c r="F66" s="27">
        <f>+F32+F34+F39+F43+F45</f>
        <v>4420685</v>
      </c>
      <c r="G66" s="27">
        <f>+G32+G34+G39+G43+G45</f>
        <v>59177140</v>
      </c>
      <c r="H66" s="27">
        <f>+H32+H34+H39+H43+H45</f>
        <v>8453030</v>
      </c>
      <c r="I66" s="27">
        <f>+I32+I34+I39+I43+I45</f>
        <v>19443207</v>
      </c>
      <c r="J66" s="27">
        <f>+J32+J34+J39+J43+J45</f>
        <v>3115584</v>
      </c>
      <c r="K66" s="27">
        <f>+K32+K34+K39+K43+K45</f>
        <v>12566329</v>
      </c>
      <c r="L66" s="27">
        <f>+L32+L34+L39+L43+L45</f>
        <v>12297981</v>
      </c>
      <c r="M66" s="27">
        <f t="shared" ref="M66:U66" si="12">+M32+M34+M39+M43+M45</f>
        <v>158416436</v>
      </c>
      <c r="N66" s="27">
        <f t="shared" si="12"/>
        <v>4573031</v>
      </c>
      <c r="O66" s="27">
        <f t="shared" si="12"/>
        <v>6236533</v>
      </c>
      <c r="P66" s="27">
        <f t="shared" si="12"/>
        <v>1236164</v>
      </c>
      <c r="Q66" s="27">
        <f t="shared" si="12"/>
        <v>339801</v>
      </c>
      <c r="R66" s="27">
        <f t="shared" si="12"/>
        <v>4463104</v>
      </c>
      <c r="S66" s="27">
        <f t="shared" si="12"/>
        <v>2046105</v>
      </c>
      <c r="T66" s="27">
        <f t="shared" si="12"/>
        <v>9424834</v>
      </c>
      <c r="U66" s="27">
        <f t="shared" si="12"/>
        <v>1620456</v>
      </c>
    </row>
    <row r="71" spans="2:21" x14ac:dyDescent="0.25">
      <c r="B71" s="38" t="s">
        <v>26</v>
      </c>
    </row>
    <row r="72" spans="2:21" ht="67.5" x14ac:dyDescent="0.25">
      <c r="B72" s="38"/>
      <c r="C72" s="42" t="s">
        <v>25</v>
      </c>
      <c r="D72" s="42" t="s">
        <v>1</v>
      </c>
      <c r="E72" s="42" t="s">
        <v>2</v>
      </c>
      <c r="F72" s="42" t="s">
        <v>3</v>
      </c>
      <c r="G72" s="42" t="s">
        <v>4</v>
      </c>
      <c r="H72" s="42" t="s">
        <v>28</v>
      </c>
      <c r="I72" s="42" t="s">
        <v>29</v>
      </c>
      <c r="J72" s="42" t="s">
        <v>27</v>
      </c>
      <c r="K72" s="42" t="s">
        <v>5</v>
      </c>
      <c r="L72" s="42" t="s">
        <v>15</v>
      </c>
      <c r="M72" s="42" t="s">
        <v>16</v>
      </c>
      <c r="N72" s="42" t="s">
        <v>17</v>
      </c>
      <c r="O72" s="42" t="s">
        <v>18</v>
      </c>
      <c r="P72" s="42" t="s">
        <v>19</v>
      </c>
      <c r="Q72" s="42" t="s">
        <v>20</v>
      </c>
      <c r="R72" s="42" t="s">
        <v>21</v>
      </c>
      <c r="S72" s="42" t="s">
        <v>22</v>
      </c>
      <c r="T72" s="42" t="s">
        <v>23</v>
      </c>
      <c r="U72" s="42" t="s">
        <v>24</v>
      </c>
    </row>
    <row r="73" spans="2:21" x14ac:dyDescent="0.25">
      <c r="B73" s="29">
        <f>+B64/(B64+B66)</f>
        <v>0.77950173828047276</v>
      </c>
      <c r="C73" s="29">
        <f>+C64/(C64+C66)</f>
        <v>0.93697854035368755</v>
      </c>
      <c r="D73" s="29">
        <f>61/(61+63)</f>
        <v>0.49193548387096775</v>
      </c>
      <c r="E73" s="29">
        <f>+E64/(E64+E66)</f>
        <v>0.94939456956220203</v>
      </c>
      <c r="F73" s="29">
        <f>+F64/(F64+F66)</f>
        <v>0.93105272261333949</v>
      </c>
      <c r="G73" s="29">
        <f>+G64/(G64+G66)</f>
        <v>0.80894472839631737</v>
      </c>
      <c r="H73" s="29">
        <f>+H64/(H64+H66)</f>
        <v>0.90520007748153086</v>
      </c>
      <c r="I73" s="29">
        <f>+I64/(I64+I66)</f>
        <v>0.8414716482811313</v>
      </c>
      <c r="J73" s="29">
        <f>+J64/(J64+J66)</f>
        <v>0.96308918040298375</v>
      </c>
      <c r="K73" s="29">
        <f>+K64/(K64+K66)</f>
        <v>0.91277028356426371</v>
      </c>
      <c r="L73" s="29">
        <f>+L64/(L64+L66)</f>
        <v>0.77086718371615504</v>
      </c>
      <c r="M73" s="29">
        <f>+M64/(M64+M66)</f>
        <v>0.35368671418075115</v>
      </c>
      <c r="N73" s="29">
        <f>+N64/(N64+N66)</f>
        <v>0.87087704050940684</v>
      </c>
      <c r="O73" s="29">
        <f>+O64/(O64+O66)</f>
        <v>0.8136260636317566</v>
      </c>
      <c r="P73" s="29">
        <f>+P64/(P64+P66)</f>
        <v>0.93783561673319615</v>
      </c>
      <c r="Q73" s="29">
        <f>+Q64/(Q64+Q66)</f>
        <v>0.79006785397217261</v>
      </c>
      <c r="R73" s="29">
        <f>+R64/(R64+R66)</f>
        <v>0.82023264085106962</v>
      </c>
      <c r="S73" s="29">
        <f>+S64/(S64+S66)</f>
        <v>0.80976463533119802</v>
      </c>
      <c r="T73" s="29">
        <f>+T64/(T64+T66)</f>
        <v>0.70888727963266951</v>
      </c>
      <c r="U73" s="29">
        <f>+U64/(U64+U66)</f>
        <v>0.8639034638243821</v>
      </c>
    </row>
  </sheetData>
  <mergeCells count="9">
    <mergeCell ref="C59:U59"/>
    <mergeCell ref="B71:B72"/>
    <mergeCell ref="A50:U58"/>
    <mergeCell ref="A1:U1"/>
    <mergeCell ref="A2:U2"/>
    <mergeCell ref="A3:U3"/>
    <mergeCell ref="A4:A5"/>
    <mergeCell ref="B4:B5"/>
    <mergeCell ref="C4:U4"/>
  </mergeCells>
  <pageMargins left="0.7" right="0.7" top="0.75" bottom="0.75" header="0.3" footer="0.3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51FD2791A56AC4BA69E3A7619F92CFA" ma:contentTypeVersion="6" ma:contentTypeDescription="Create a new document." ma:contentTypeScope="" ma:versionID="dfa0de3b2474086fdbc0bfef367eaaa0">
  <xsd:schema xmlns:xsd="http://www.w3.org/2001/XMLSchema" xmlns:xs="http://www.w3.org/2001/XMLSchema" xmlns:p="http://schemas.microsoft.com/office/2006/metadata/properties" xmlns:ns1="http://schemas.microsoft.com/sharepoint/v3" xmlns:ns2="f5e1b544-d791-43ee-87ef-a16a3cac5d38" targetNamespace="http://schemas.microsoft.com/office/2006/metadata/properties" ma:root="true" ma:fieldsID="946999b8d44b123e6f5c61aafcff67f8" ns1:_="" ns2:_="">
    <xsd:import namespace="http://schemas.microsoft.com/sharepoint/v3"/>
    <xsd:import namespace="f5e1b544-d791-43ee-87ef-a16a3cac5d3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e1b544-d791-43ee-87ef-a16a3cac5d3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9CED389-E3D8-498D-9C8A-6797DE7552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5e1b544-d791-43ee-87ef-a16a3cac5d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68F82B-5E39-4CEE-B921-E2D768FEC12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F40FB4-D775-40B8-9684-F2DBDC8114F1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13</vt:lpstr>
    </vt:vector>
  </TitlesOfParts>
  <Company>Internal Revenue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Department of Treasury</dc:creator>
  <cp:lastModifiedBy>David Weisbach</cp:lastModifiedBy>
  <cp:lastPrinted>2014-11-06T20:10:45Z</cp:lastPrinted>
  <dcterms:created xsi:type="dcterms:W3CDTF">2014-10-09T12:20:59Z</dcterms:created>
  <dcterms:modified xsi:type="dcterms:W3CDTF">2026-05-08T18:43:20Z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0x010100551FD2791A56AC4BA69E3A7619F92CFA</vt:lpwstr>
  </property>
</Properties>
</file>